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ME" sheetId="1" state="visible" r:id="rId3"/>
    <sheet name="Inputs" sheetId="2" state="visible" r:id="rId4"/>
    <sheet name="Prices" sheetId="3" state="visible" r:id="rId5"/>
    <sheet name="Packages" sheetId="4" state="visible" r:id="rId6"/>
    <sheet name="Basket lines" sheetId="5" state="visible" r:id="rId7"/>
    <sheet name="Scenarios" sheetId="6" state="visible" r:id="rId8"/>
    <sheet name="Tests" sheetId="7" state="visible" r:id="rId9"/>
    <sheet name="Handling time" sheetId="8" state="visible" r:id="rId10"/>
    <sheet name="Dashboard" sheetId="9" state="visible" r:id="rId11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3" authorId="0">
      <text>
        <r>
          <rPr>
            <sz val="10"/>
            <rFont val="Arial"/>
            <family val="2"/>
          </rPr>
          <t xml:space="preserve">Illustrative demo value. Not a business setting. The live system uses its own configured value.</t>
        </r>
      </text>
    </comment>
    <comment ref="B4" authorId="0">
      <text>
        <r>
          <rPr>
            <sz val="10"/>
            <rFont val="Arial"/>
            <family val="2"/>
          </rPr>
          <t xml:space="preserve">Documentation only. The roll-up rule is applied when two or more parts are requested; the basket lines below are set up to match.</t>
        </r>
      </text>
    </comment>
  </commentList>
</comments>
</file>

<file path=xl/sharedStrings.xml><?xml version="1.0" encoding="utf-8"?>
<sst xmlns="http://schemas.openxmlformats.org/spreadsheetml/2006/main" count="233" uniqueCount="149">
  <si>
    <t xml:space="preserve">Orange Reply Assistant: quotation report (synthetic data)</t>
  </si>
  <si>
    <t xml:space="preserve">Purpose: a working model of the quotation rules, with every result calculated by formula.</t>
  </si>
  <si>
    <t xml:space="preserve">Data: all prices, packages and baskets are SYNTHETIC. The handling-time figures are the author's own recorded figures.</t>
  </si>
  <si>
    <t xml:space="preserve">Colour legend</t>
  </si>
  <si>
    <t xml:space="preserve">Blue text = hardcoded input you can change.  Black text = formula.  Yellow fill = key assumption.</t>
  </si>
  <si>
    <t xml:space="preserve">Sheets</t>
  </si>
  <si>
    <t xml:space="preserve">Inputs: threshold and roll-up settings.</t>
  </si>
  <si>
    <t xml:space="preserve">Prices: synthetic price list (tests and panels).</t>
  </si>
  <si>
    <t xml:space="preserve">Packages: synthetic packages and whether each includes a CBC-type test.</t>
  </si>
  <si>
    <t xml:space="preserve">Basket lines: each basket line, and whether it counts in the individual total, the quote after roll-up, and the package cover.</t>
  </si>
  <si>
    <t xml:space="preserve">Scenarios: individual vs quoted vs best quote, saving and decision, per basket.</t>
  </si>
  <si>
    <t xml:space="preserve">Tests: results of the 10 rule tests (status as recorded by npm test).</t>
  </si>
  <si>
    <t xml:space="preserve">Handling time: before/after handling time and change.</t>
  </si>
  <si>
    <t xml:space="preserve">Dashboard: headline KPIs and charts. Reads from the sheets above.</t>
  </si>
  <si>
    <t xml:space="preserve">Limits: the rules run on invented prices, so results show how the rules behave, not real costs.</t>
  </si>
  <si>
    <t xml:space="preserve">The handling-time comparison is not matched for chat mix or agents, so it is not a controlled result.</t>
  </si>
  <si>
    <t xml:space="preserve">Inputs</t>
  </si>
  <si>
    <t xml:space="preserve">Change blue values only.</t>
  </si>
  <si>
    <t xml:space="preserve">Package threshold (Rs)</t>
  </si>
  <si>
    <t xml:space="preserve">Roll-up minimum parts</t>
  </si>
  <si>
    <t xml:space="preserve">Prices (synthetic)</t>
  </si>
  <si>
    <t xml:space="preserve">Invented prices for illustration. Not the company price list.</t>
  </si>
  <si>
    <t xml:space="preserve">Type</t>
  </si>
  <si>
    <t xml:space="preserve">Name</t>
  </si>
  <si>
    <t xml:space="preserve">Price (Rs)</t>
  </si>
  <si>
    <t xml:space="preserve">test</t>
  </si>
  <si>
    <t xml:space="preserve">Sodium</t>
  </si>
  <si>
    <t xml:space="preserve">Potassium</t>
  </si>
  <si>
    <t xml:space="preserve">Chloride</t>
  </si>
  <si>
    <t xml:space="preserve">Calcium</t>
  </si>
  <si>
    <t xml:space="preserve">Uric Acid</t>
  </si>
  <si>
    <t xml:space="preserve">Urea</t>
  </si>
  <si>
    <t xml:space="preserve">Creatinine</t>
  </si>
  <si>
    <t xml:space="preserve">ALT</t>
  </si>
  <si>
    <t xml:space="preserve">AST</t>
  </si>
  <si>
    <t xml:space="preserve">GGT</t>
  </si>
  <si>
    <t xml:space="preserve">Total Bilirubin</t>
  </si>
  <si>
    <t xml:space="preserve">Albumin</t>
  </si>
  <si>
    <t xml:space="preserve">Complete Blood Count</t>
  </si>
  <si>
    <t xml:space="preserve">Complete Blood Count with ESR</t>
  </si>
  <si>
    <t xml:space="preserve">Vitamin D</t>
  </si>
  <si>
    <t xml:space="preserve">Thyroid Profile</t>
  </si>
  <si>
    <t xml:space="preserve">panel</t>
  </si>
  <si>
    <t xml:space="preserve">Kidney Function Panel</t>
  </si>
  <si>
    <t xml:space="preserve">Liver Function Panel</t>
  </si>
  <si>
    <t xml:space="preserve">Packages (synthetic)</t>
  </si>
  <si>
    <t xml:space="preserve">Invented packages. The CBC column is the coverage flag used in the rules.</t>
  </si>
  <si>
    <t xml:space="preserve">Package</t>
  </si>
  <si>
    <t xml:space="preserve">Includes CBC-type test (Y/N)</t>
  </si>
  <si>
    <t xml:space="preserve">Tests included</t>
  </si>
  <si>
    <t xml:space="preserve">Essential Checkup</t>
  </si>
  <si>
    <t xml:space="preserve">Y</t>
  </si>
  <si>
    <t xml:space="preserve">Complete Blood Count with ESR; Vitamin D</t>
  </si>
  <si>
    <t xml:space="preserve">Basic Blood Count</t>
  </si>
  <si>
    <t xml:space="preserve">Kidney and Liver Checkup</t>
  </si>
  <si>
    <t xml:space="preserve">N</t>
  </si>
  <si>
    <t xml:space="preserve">Kidney Function Panel; Liver Function Panel</t>
  </si>
  <si>
    <t xml:space="preserve">Basket lines</t>
  </si>
  <si>
    <t xml:space="preserve">Y/N flags drive every total. Price is looked up from the Prices sheet.</t>
  </si>
  <si>
    <t xml:space="preserve">Scenario</t>
  </si>
  <si>
    <t xml:space="preserve">Test</t>
  </si>
  <si>
    <t xml:space="preserve">In individual total (Y/N)</t>
  </si>
  <si>
    <t xml:space="preserve">In quote after roll-up (Y/N)</t>
  </si>
  <si>
    <t xml:space="preserve">Covered by package (Y/N)</t>
  </si>
  <si>
    <t xml:space="preserve">S1 CBC + Vitamin D + Thyroid</t>
  </si>
  <si>
    <t xml:space="preserve">S2 Sodium + Potassium + Vitamin D + Thyroid</t>
  </si>
  <si>
    <t xml:space="preserve">S3 Vitamin D + Thyroid</t>
  </si>
  <si>
    <t xml:space="preserve">Roll-up: Sodium and Potassium are left out of the quote and the Kidney Function Panel is added at its own price (two or more parts requested).</t>
  </si>
  <si>
    <t xml:space="preserve">Scenarios: individual vs quote vs best</t>
  </si>
  <si>
    <t xml:space="preserve">Package option is used only when it is cheaper than the quote and the basket is above the threshold.</t>
  </si>
  <si>
    <t xml:space="preserve">Individual total (Rs)</t>
  </si>
  <si>
    <t xml:space="preserve">Quote after roll-up (Rs)</t>
  </si>
  <si>
    <t xml:space="preserve">Package chosen</t>
  </si>
  <si>
    <t xml:space="preserve">Package price (Rs)</t>
  </si>
  <si>
    <t xml:space="preserve">Add-ons not covered (Rs)</t>
  </si>
  <si>
    <t xml:space="preserve">Package option total (Rs)</t>
  </si>
  <si>
    <t xml:space="preserve">Above threshold?</t>
  </si>
  <si>
    <t xml:space="preserve">Best quote (Rs)</t>
  </si>
  <si>
    <t xml:space="preserve">Saving vs quote (Rs)</t>
  </si>
  <si>
    <t xml:space="preserve">Decision</t>
  </si>
  <si>
    <t xml:space="preserve">Roll-up effect (S2): quote after roll-up minus individual total</t>
  </si>
  <si>
    <t xml:space="preserve">Rule tests</t>
  </si>
  <si>
    <t xml:space="preserve">Status as recorded from npm test in the portfolio repository.</t>
  </si>
  <si>
    <t xml:space="preserve">ID</t>
  </si>
  <si>
    <t xml:space="preserve">Expected</t>
  </si>
  <si>
    <t xml:space="preserve">Status (recorded)</t>
  </si>
  <si>
    <t xml:space="preserve">T1</t>
  </si>
  <si>
    <t xml:space="preserve">Two parts roll up into the bigger test</t>
  </si>
  <si>
    <t xml:space="preserve">Roll-up to panel</t>
  </si>
  <si>
    <t xml:space="preserve">PASS</t>
  </si>
  <si>
    <t xml:space="preserve">T2</t>
  </si>
  <si>
    <t xml:space="preserve">A single part is not rolled up</t>
  </si>
  <si>
    <t xml:space="preserve">No roll-up</t>
  </si>
  <si>
    <t xml:space="preserve">T3</t>
  </si>
  <si>
    <t xml:space="preserve">Bigger test already requested: parts dropped</t>
  </si>
  <si>
    <t xml:space="preserve">Parts dropped</t>
  </si>
  <si>
    <t xml:space="preserve">T4</t>
  </si>
  <si>
    <t xml:space="preserve">Bigger test has no price: parts kept</t>
  </si>
  <si>
    <t xml:space="preserve">Parts kept</t>
  </si>
  <si>
    <t xml:space="preserve">T5</t>
  </si>
  <si>
    <t xml:space="preserve">CBC covered by CBC with ESR</t>
  </si>
  <si>
    <t xml:space="preserve">Covered</t>
  </si>
  <si>
    <t xml:space="preserve">T6</t>
  </si>
  <si>
    <t xml:space="preserve">Cheaper package chosen, uncovered test added</t>
  </si>
  <si>
    <t xml:space="preserve">Rs 1,700, saving Rs 250</t>
  </si>
  <si>
    <t xml:space="preserve">T7</t>
  </si>
  <si>
    <t xml:space="preserve">Basket below threshold not optimised</t>
  </si>
  <si>
    <t xml:space="preserve">No package check</t>
  </si>
  <si>
    <t xml:space="preserve">T8</t>
  </si>
  <si>
    <t xml:space="preserve">No cheaper option: individual quote kept</t>
  </si>
  <si>
    <t xml:space="preserve">Individual quote kept</t>
  </si>
  <si>
    <t xml:space="preserve">T9</t>
  </si>
  <si>
    <t xml:space="preserve">Unknown price reported, never guessed</t>
  </si>
  <si>
    <t xml:space="preserve">Reported unavailable</t>
  </si>
  <si>
    <t xml:space="preserve">T10</t>
  </si>
  <si>
    <t xml:space="preserve">End to end: panel quoted, packages compared</t>
  </si>
  <si>
    <t xml:space="preserve">Rs 2,500, no package</t>
  </si>
  <si>
    <t xml:space="preserve">Booking-chat handling time</t>
  </si>
  <si>
    <t xml:space="preserve">Author's own recorded figures. Not a controlled comparison.</t>
  </si>
  <si>
    <t xml:space="preserve">Period</t>
  </si>
  <si>
    <t xml:space="preserve">Average handling time (min)</t>
  </si>
  <si>
    <t xml:space="preserve">Chats</t>
  </si>
  <si>
    <t xml:space="preserve">Agents</t>
  </si>
  <si>
    <t xml:space="preserve">Basis</t>
  </si>
  <si>
    <t xml:space="preserve">Before (informal estimate)</t>
  </si>
  <si>
    <t xml:space="preserve">not recorded</t>
  </si>
  <si>
    <t xml:space="preserve">Author's informal estimate</t>
  </si>
  <si>
    <t xml:space="preserve">After the change</t>
  </si>
  <si>
    <t xml:space="preserve">several</t>
  </si>
  <si>
    <t xml:space="preserve">Author's own records</t>
  </si>
  <si>
    <t xml:space="preserve">Change (min)</t>
  </si>
  <si>
    <t xml:space="preserve">Change (%)</t>
  </si>
  <si>
    <t xml:space="preserve">Not matched for chat mix or agents. Treat as an observed change, not proof the tool alone caused it.</t>
  </si>
  <si>
    <t xml:space="preserve">Dashboard: quotation rules and booking time</t>
  </si>
  <si>
    <t xml:space="preserve">All figures calculated from the sheets. Synthetic prices; handling time from the author's records.</t>
  </si>
  <si>
    <t xml:space="preserve">Headline</t>
  </si>
  <si>
    <t xml:space="preserve">Value</t>
  </si>
  <si>
    <t xml:space="preserve">Note</t>
  </si>
  <si>
    <t xml:space="preserve">Rule tests passed</t>
  </si>
  <si>
    <t xml:space="preserve">Saving on package basket S1 (Rs)</t>
  </si>
  <si>
    <t xml:space="preserve">Cheaper package than individual tests</t>
  </si>
  <si>
    <t xml:space="preserve">Roll-up increase on basket S2 (Rs)</t>
  </si>
  <si>
    <t xml:space="preserve">Rolling small tests into a panel raised the quote</t>
  </si>
  <si>
    <t xml:space="preserve">Handling time change</t>
  </si>
  <si>
    <t xml:space="preserve">From informal ~20 min to ~10 min (about 100 chats)</t>
  </si>
  <si>
    <t xml:space="preserve">Packages with a CBC-type test (internal count)</t>
  </si>
  <si>
    <t xml:space="preserve">Recorded from the internal list (38 packages); names not shared</t>
  </si>
  <si>
    <t xml:space="preserve">Packages without a CBC-type test (internal count)</t>
  </si>
  <si>
    <t xml:space="preserve">Same recount. Earlier figure of 17 was wrong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</si>
</sst>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s &quot;#,##0"/>
    <numFmt numFmtId="166" formatCode="0"/>
    <numFmt numFmtId="167" formatCode="0;\-0"/>
    <numFmt numFmtId="168" formatCode="0%;\-0%"/>
    <numFmt numFmtId="169" formatCode="#,##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5D636E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name val="Arial"/>
      <family val="2"/>
    </font>
    <font>
      <b val="true"/>
      <sz val="10"/>
      <color rgb="FFFFFFFF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6F5C"/>
        <bgColor rgb="FF00808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3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6F5C"/>
      <rgbColor rgb="FFC0C0C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F81BD"/>
      <rgbColor rgb="FF33CCCC"/>
      <rgbColor rgb="FF9BBB59"/>
      <rgbColor rgb="FFFFCC00"/>
      <rgbColor rgb="FFFF9900"/>
      <rgbColor rgb="FFFF6600"/>
      <rgbColor rgb="FF5D636E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Individual, quoted and best total per basket (Rs)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Scenarios!B3</c:f>
              <c:strCache>
                <c:ptCount val="1"/>
                <c:pt idx="0">
                  <c:v>Individual total (Rs)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Scenarios!$A$4:$A$6</c:f>
              <c:strCache>
                <c:ptCount val="3"/>
                <c:pt idx="0">
                  <c:v>S1 CBC + Vitamin D + Thyroid</c:v>
                </c:pt>
                <c:pt idx="1">
                  <c:v>S2 Sodium + Potassium + Vitamin D + Thyroid</c:v>
                </c:pt>
                <c:pt idx="2">
                  <c:v>S3 Vitamin D + Thyroid</c:v>
                </c:pt>
              </c:strCache>
            </c:strRef>
          </c:cat>
          <c:val>
            <c:numRef>
              <c:f>Scenarios!$B$4:$B$6</c:f>
              <c:numCache>
                <c:formatCode>"Rs "#,##0</c:formatCode>
                <c:ptCount val="3"/>
                <c:pt idx="0">
                  <c:v>1950</c:v>
                </c:pt>
                <c:pt idx="1">
                  <c:v>1900</c:v>
                </c:pt>
                <c:pt idx="2">
                  <c:v>1700</c:v>
                </c:pt>
              </c:numCache>
            </c:numRef>
          </c:val>
        </c:ser>
        <c:ser>
          <c:idx val="1"/>
          <c:order val="1"/>
          <c:tx>
            <c:strRef>
              <c:f>Scenarios!C3</c:f>
              <c:strCache>
                <c:ptCount val="1"/>
                <c:pt idx="0">
                  <c:v>Quote after roll-up (Rs)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Scenarios!$A$4:$A$6</c:f>
              <c:strCache>
                <c:ptCount val="3"/>
                <c:pt idx="0">
                  <c:v>S1 CBC + Vitamin D + Thyroid</c:v>
                </c:pt>
                <c:pt idx="1">
                  <c:v>S2 Sodium + Potassium + Vitamin D + Thyroid</c:v>
                </c:pt>
                <c:pt idx="2">
                  <c:v>S3 Vitamin D + Thyroid</c:v>
                </c:pt>
              </c:strCache>
            </c:strRef>
          </c:cat>
          <c:val>
            <c:numRef>
              <c:f>Scenarios!$C$4:$C$6</c:f>
              <c:numCache>
                <c:formatCode>"Rs "#,##0</c:formatCode>
                <c:ptCount val="3"/>
                <c:pt idx="0">
                  <c:v>1950</c:v>
                </c:pt>
                <c:pt idx="1">
                  <c:v>2500</c:v>
                </c:pt>
                <c:pt idx="2">
                  <c:v>1700</c:v>
                </c:pt>
              </c:numCache>
            </c:numRef>
          </c:val>
        </c:ser>
        <c:ser>
          <c:idx val="2"/>
          <c:order val="2"/>
          <c:tx>
            <c:strRef>
              <c:f>Scenarios!I3</c:f>
              <c:strCache>
                <c:ptCount val="1"/>
                <c:pt idx="0">
                  <c:v>Best quote (Rs)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Scenarios!$A$4:$A$6</c:f>
              <c:strCache>
                <c:ptCount val="3"/>
                <c:pt idx="0">
                  <c:v>S1 CBC + Vitamin D + Thyroid</c:v>
                </c:pt>
                <c:pt idx="1">
                  <c:v>S2 Sodium + Potassium + Vitamin D + Thyroid</c:v>
                </c:pt>
                <c:pt idx="2">
                  <c:v>S3 Vitamin D + Thyroid</c:v>
                </c:pt>
              </c:strCache>
            </c:strRef>
          </c:cat>
          <c:val>
            <c:numRef>
              <c:f>Scenarios!$I$4:$I$6</c:f>
              <c:numCache>
                <c:formatCode>"Rs "#,##0</c:formatCode>
                <c:ptCount val="3"/>
                <c:pt idx="0">
                  <c:v>1700</c:v>
                </c:pt>
                <c:pt idx="1">
                  <c:v>2500</c:v>
                </c:pt>
                <c:pt idx="2">
                  <c:v>1700</c:v>
                </c:pt>
              </c:numCache>
            </c:numRef>
          </c:val>
        </c:ser>
        <c:gapWidth val="150"/>
        <c:overlap val="0"/>
        <c:axId val="4449565"/>
        <c:axId val="24267654"/>
      </c:barChart>
      <c:catAx>
        <c:axId val="444956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4267654"/>
        <c:crosses val="autoZero"/>
        <c:auto val="1"/>
        <c:lblAlgn val="ctr"/>
        <c:lblOffset val="100"/>
        <c:noMultiLvlLbl val="0"/>
      </c:catAx>
      <c:valAx>
        <c:axId val="242676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Rs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449565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Average booking-chat handling time (min)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'Handling time'!B3</c:f>
              <c:strCache>
                <c:ptCount val="1"/>
                <c:pt idx="0">
                  <c:v>Average handling time (min)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'Handling time'!$A$4:$A$5</c:f>
              <c:strCache>
                <c:ptCount val="2"/>
                <c:pt idx="0">
                  <c:v>Before (informal estimate)</c:v>
                </c:pt>
                <c:pt idx="1">
                  <c:v>After the change</c:v>
                </c:pt>
              </c:strCache>
            </c:strRef>
          </c:cat>
          <c:val>
            <c:numRef>
              <c:f>'Handling time'!$B$4:$B$5</c:f>
              <c:numCache>
                <c:formatCode>0</c:formatCode>
                <c:ptCount val="2"/>
                <c:pt idx="0">
                  <c:v>20</c:v>
                </c:pt>
                <c:pt idx="1">
                  <c:v>10</c:v>
                </c:pt>
              </c:numCache>
            </c:numRef>
          </c:val>
        </c:ser>
        <c:gapWidth val="150"/>
        <c:overlap val="0"/>
        <c:axId val="43645355"/>
        <c:axId val="15644096"/>
      </c:barChart>
      <c:catAx>
        <c:axId val="436453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44096"/>
        <c:crosses val="autoZero"/>
        <c:auto val="1"/>
        <c:lblAlgn val="ctr"/>
        <c:lblOffset val="100"/>
        <c:noMultiLvlLbl val="0"/>
      </c:catAx>
      <c:valAx>
        <c:axId val="1564409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3645355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10</xdr:row>
      <xdr:rowOff>160560</xdr:rowOff>
    </xdr:from>
    <xdr:to>
      <xdr:col>2</xdr:col>
      <xdr:colOff>2109600</xdr:colOff>
      <xdr:row>25</xdr:row>
      <xdr:rowOff>182880</xdr:rowOff>
    </xdr:to>
    <xdr:graphicFrame>
      <xdr:nvGraphicFramePr>
        <xdr:cNvPr id="0" name="Chart 1"/>
        <xdr:cNvGraphicFramePr/>
      </xdr:nvGraphicFramePr>
      <xdr:xfrm>
        <a:off x="0" y="2095560"/>
        <a:ext cx="647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0</xdr:colOff>
      <xdr:row>28</xdr:row>
      <xdr:rowOff>160560</xdr:rowOff>
    </xdr:from>
    <xdr:to>
      <xdr:col>1</xdr:col>
      <xdr:colOff>1077480</xdr:colOff>
      <xdr:row>43</xdr:row>
      <xdr:rowOff>182880</xdr:rowOff>
    </xdr:to>
    <xdr:graphicFrame>
      <xdr:nvGraphicFramePr>
        <xdr:cNvPr id="1" name="Chart 2"/>
        <xdr:cNvGraphicFramePr/>
      </xdr:nvGraphicFramePr>
      <xdr:xfrm>
        <a:off x="0" y="5524560"/>
        <a:ext cx="431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7.3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A11" s="2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4"/>
  </cols>
  <sheetData>
    <row r="1" customFormat="false" ht="17.35" hidden="false" customHeight="false" outlineLevel="0" collapsed="false">
      <c r="A1" s="1" t="s">
        <v>16</v>
      </c>
    </row>
    <row r="2" customFormat="false" ht="15" hidden="false" customHeight="false" outlineLevel="0" collapsed="false">
      <c r="A2" s="4" t="s">
        <v>17</v>
      </c>
    </row>
    <row r="3" customFormat="false" ht="15" hidden="false" customHeight="false" outlineLevel="0" collapsed="false">
      <c r="A3" s="5" t="s">
        <v>18</v>
      </c>
      <c r="B3" s="6" t="n">
        <v>1000</v>
      </c>
    </row>
    <row r="4" customFormat="false" ht="15" hidden="false" customHeight="false" outlineLevel="0" collapsed="false">
      <c r="A4" s="5" t="s">
        <v>19</v>
      </c>
      <c r="B4" s="7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4"/>
    <col collapsed="false" customWidth="true" hidden="false" outlineLevel="0" max="3" min="3" style="0" width="14"/>
  </cols>
  <sheetData>
    <row r="1" customFormat="false" ht="17.35" hidden="false" customHeight="false" outlineLevel="0" collapsed="false">
      <c r="A1" s="1" t="s">
        <v>20</v>
      </c>
    </row>
    <row r="2" customFormat="false" ht="15" hidden="false" customHeight="false" outlineLevel="0" collapsed="false">
      <c r="A2" s="4" t="s">
        <v>21</v>
      </c>
    </row>
    <row r="3" customFormat="false" ht="15" hidden="false" customHeight="false" outlineLevel="0" collapsed="false">
      <c r="A3" s="8" t="s">
        <v>22</v>
      </c>
      <c r="B3" s="8" t="s">
        <v>23</v>
      </c>
      <c r="C3" s="8" t="s">
        <v>24</v>
      </c>
    </row>
    <row r="4" customFormat="false" ht="15" hidden="false" customHeight="false" outlineLevel="0" collapsed="false">
      <c r="A4" s="9" t="s">
        <v>25</v>
      </c>
      <c r="B4" s="9" t="s">
        <v>26</v>
      </c>
      <c r="C4" s="10" t="n">
        <v>100</v>
      </c>
    </row>
    <row r="5" customFormat="false" ht="15" hidden="false" customHeight="false" outlineLevel="0" collapsed="false">
      <c r="A5" s="9" t="s">
        <v>25</v>
      </c>
      <c r="B5" s="9" t="s">
        <v>27</v>
      </c>
      <c r="C5" s="10" t="n">
        <v>100</v>
      </c>
    </row>
    <row r="6" customFormat="false" ht="15" hidden="false" customHeight="false" outlineLevel="0" collapsed="false">
      <c r="A6" s="9" t="s">
        <v>25</v>
      </c>
      <c r="B6" s="9" t="s">
        <v>28</v>
      </c>
      <c r="C6" s="10" t="n">
        <v>100</v>
      </c>
    </row>
    <row r="7" customFormat="false" ht="15" hidden="false" customHeight="false" outlineLevel="0" collapsed="false">
      <c r="A7" s="9" t="s">
        <v>25</v>
      </c>
      <c r="B7" s="9" t="s">
        <v>29</v>
      </c>
      <c r="C7" s="10" t="n">
        <v>120</v>
      </c>
    </row>
    <row r="8" customFormat="false" ht="15" hidden="false" customHeight="false" outlineLevel="0" collapsed="false">
      <c r="A8" s="9" t="s">
        <v>25</v>
      </c>
      <c r="B8" s="9" t="s">
        <v>30</v>
      </c>
      <c r="C8" s="10" t="n">
        <v>150</v>
      </c>
    </row>
    <row r="9" customFormat="false" ht="15" hidden="false" customHeight="false" outlineLevel="0" collapsed="false">
      <c r="A9" s="9" t="s">
        <v>25</v>
      </c>
      <c r="B9" s="9" t="s">
        <v>31</v>
      </c>
      <c r="C9" s="10" t="n">
        <v>130</v>
      </c>
    </row>
    <row r="10" customFormat="false" ht="15" hidden="false" customHeight="false" outlineLevel="0" collapsed="false">
      <c r="A10" s="9" t="s">
        <v>25</v>
      </c>
      <c r="B10" s="9" t="s">
        <v>32</v>
      </c>
      <c r="C10" s="10" t="n">
        <v>140</v>
      </c>
    </row>
    <row r="11" customFormat="false" ht="15" hidden="false" customHeight="false" outlineLevel="0" collapsed="false">
      <c r="A11" s="9" t="s">
        <v>25</v>
      </c>
      <c r="B11" s="9" t="s">
        <v>33</v>
      </c>
      <c r="C11" s="10" t="n">
        <v>160</v>
      </c>
    </row>
    <row r="12" customFormat="false" ht="15" hidden="false" customHeight="false" outlineLevel="0" collapsed="false">
      <c r="A12" s="9" t="s">
        <v>25</v>
      </c>
      <c r="B12" s="9" t="s">
        <v>34</v>
      </c>
      <c r="C12" s="10" t="n">
        <v>160</v>
      </c>
    </row>
    <row r="13" customFormat="false" ht="15" hidden="false" customHeight="false" outlineLevel="0" collapsed="false">
      <c r="A13" s="9" t="s">
        <v>25</v>
      </c>
      <c r="B13" s="9" t="s">
        <v>35</v>
      </c>
      <c r="C13" s="10" t="n">
        <v>170</v>
      </c>
    </row>
    <row r="14" customFormat="false" ht="15" hidden="false" customHeight="false" outlineLevel="0" collapsed="false">
      <c r="A14" s="9" t="s">
        <v>25</v>
      </c>
      <c r="B14" s="9" t="s">
        <v>36</v>
      </c>
      <c r="C14" s="10" t="n">
        <v>140</v>
      </c>
    </row>
    <row r="15" customFormat="false" ht="15" hidden="false" customHeight="false" outlineLevel="0" collapsed="false">
      <c r="A15" s="9" t="s">
        <v>25</v>
      </c>
      <c r="B15" s="9" t="s">
        <v>37</v>
      </c>
      <c r="C15" s="10" t="n">
        <v>110</v>
      </c>
    </row>
    <row r="16" customFormat="false" ht="15" hidden="false" customHeight="false" outlineLevel="0" collapsed="false">
      <c r="A16" s="9" t="s">
        <v>25</v>
      </c>
      <c r="B16" s="9" t="s">
        <v>38</v>
      </c>
      <c r="C16" s="10" t="n">
        <v>250</v>
      </c>
    </row>
    <row r="17" customFormat="false" ht="15" hidden="false" customHeight="false" outlineLevel="0" collapsed="false">
      <c r="A17" s="9" t="s">
        <v>25</v>
      </c>
      <c r="B17" s="9" t="s">
        <v>39</v>
      </c>
      <c r="C17" s="10" t="n">
        <v>300</v>
      </c>
    </row>
    <row r="18" customFormat="false" ht="15" hidden="false" customHeight="false" outlineLevel="0" collapsed="false">
      <c r="A18" s="9" t="s">
        <v>25</v>
      </c>
      <c r="B18" s="9" t="s">
        <v>40</v>
      </c>
      <c r="C18" s="10" t="n">
        <v>900</v>
      </c>
    </row>
    <row r="19" customFormat="false" ht="15" hidden="false" customHeight="false" outlineLevel="0" collapsed="false">
      <c r="A19" s="9" t="s">
        <v>25</v>
      </c>
      <c r="B19" s="9" t="s">
        <v>41</v>
      </c>
      <c r="C19" s="10" t="n">
        <v>800</v>
      </c>
    </row>
    <row r="20" customFormat="false" ht="15" hidden="false" customHeight="false" outlineLevel="0" collapsed="false">
      <c r="A20" s="9" t="s">
        <v>42</v>
      </c>
      <c r="B20" s="9" t="s">
        <v>43</v>
      </c>
      <c r="C20" s="10" t="n">
        <v>800</v>
      </c>
    </row>
    <row r="21" customFormat="false" ht="15" hidden="false" customHeight="false" outlineLevel="0" collapsed="false">
      <c r="A21" s="9" t="s">
        <v>42</v>
      </c>
      <c r="B21" s="9" t="s">
        <v>44</v>
      </c>
      <c r="C21" s="10" t="n">
        <v>900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4"/>
    <col collapsed="false" customWidth="true" hidden="false" outlineLevel="0" max="3" min="3" style="0" width="26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1" t="s">
        <v>45</v>
      </c>
    </row>
    <row r="2" customFormat="false" ht="15" hidden="false" customHeight="false" outlineLevel="0" collapsed="false">
      <c r="A2" s="4" t="s">
        <v>46</v>
      </c>
    </row>
    <row r="3" customFormat="false" ht="15" hidden="false" customHeight="false" outlineLevel="0" collapsed="false">
      <c r="A3" s="8" t="s">
        <v>47</v>
      </c>
      <c r="B3" s="8" t="s">
        <v>24</v>
      </c>
      <c r="C3" s="8" t="s">
        <v>48</v>
      </c>
      <c r="D3" s="8" t="s">
        <v>49</v>
      </c>
    </row>
    <row r="4" customFormat="false" ht="15" hidden="false" customHeight="false" outlineLevel="0" collapsed="false">
      <c r="A4" s="9" t="s">
        <v>50</v>
      </c>
      <c r="B4" s="10" t="n">
        <v>900</v>
      </c>
      <c r="C4" s="9" t="s">
        <v>51</v>
      </c>
      <c r="D4" s="9" t="s">
        <v>52</v>
      </c>
    </row>
    <row r="5" customFormat="false" ht="15" hidden="false" customHeight="false" outlineLevel="0" collapsed="false">
      <c r="A5" s="9" t="s">
        <v>53</v>
      </c>
      <c r="B5" s="10" t="n">
        <v>400</v>
      </c>
      <c r="C5" s="9" t="s">
        <v>51</v>
      </c>
      <c r="D5" s="9" t="s">
        <v>39</v>
      </c>
    </row>
    <row r="6" customFormat="false" ht="15" hidden="false" customHeight="false" outlineLevel="0" collapsed="false">
      <c r="A6" s="9" t="s">
        <v>54</v>
      </c>
      <c r="B6" s="10" t="n">
        <v>1500</v>
      </c>
      <c r="C6" s="9" t="s">
        <v>55</v>
      </c>
      <c r="D6" s="9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26"/>
    <col collapsed="false" customWidth="true" hidden="false" outlineLevel="0" max="3" min="3" style="0" width="13"/>
    <col collapsed="false" customWidth="true" hidden="false" outlineLevel="0" max="4" min="4" style="0" width="22"/>
    <col collapsed="false" customWidth="true" hidden="false" outlineLevel="0" max="5" min="5" style="0" width="24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 t="s">
        <v>57</v>
      </c>
    </row>
    <row r="2" customFormat="false" ht="15" hidden="false" customHeight="false" outlineLevel="0" collapsed="false">
      <c r="A2" s="4" t="s">
        <v>58</v>
      </c>
    </row>
    <row r="3" customFormat="false" ht="23.85" hidden="false" customHeight="false" outlineLevel="0" collapsed="false">
      <c r="A3" s="8" t="s">
        <v>59</v>
      </c>
      <c r="B3" s="8" t="s">
        <v>60</v>
      </c>
      <c r="C3" s="8" t="s">
        <v>24</v>
      </c>
      <c r="D3" s="8" t="s">
        <v>61</v>
      </c>
      <c r="E3" s="8" t="s">
        <v>62</v>
      </c>
      <c r="F3" s="8" t="s">
        <v>63</v>
      </c>
    </row>
    <row r="4" customFormat="false" ht="15" hidden="false" customHeight="false" outlineLevel="0" collapsed="false">
      <c r="A4" s="9" t="s">
        <v>64</v>
      </c>
      <c r="B4" s="9" t="s">
        <v>38</v>
      </c>
      <c r="C4" s="11" t="n">
        <f aca="false">INDEX(Prices!$C$4:$C$21,MATCH(B4,Prices!$B$4:$B$21,0))</f>
        <v>250</v>
      </c>
      <c r="D4" s="9" t="s">
        <v>51</v>
      </c>
      <c r="E4" s="9" t="s">
        <v>51</v>
      </c>
      <c r="F4" s="9" t="s">
        <v>51</v>
      </c>
    </row>
    <row r="5" customFormat="false" ht="15" hidden="false" customHeight="false" outlineLevel="0" collapsed="false">
      <c r="A5" s="9" t="s">
        <v>64</v>
      </c>
      <c r="B5" s="9" t="s">
        <v>40</v>
      </c>
      <c r="C5" s="11" t="n">
        <f aca="false">INDEX(Prices!$C$4:$C$21,MATCH(B5,Prices!$B$4:$B$21,0))</f>
        <v>900</v>
      </c>
      <c r="D5" s="9" t="s">
        <v>51</v>
      </c>
      <c r="E5" s="9" t="s">
        <v>51</v>
      </c>
      <c r="F5" s="9" t="s">
        <v>51</v>
      </c>
    </row>
    <row r="6" customFormat="false" ht="15" hidden="false" customHeight="false" outlineLevel="0" collapsed="false">
      <c r="A6" s="9" t="s">
        <v>64</v>
      </c>
      <c r="B6" s="9" t="s">
        <v>41</v>
      </c>
      <c r="C6" s="11" t="n">
        <f aca="false">INDEX(Prices!$C$4:$C$21,MATCH(B6,Prices!$B$4:$B$21,0))</f>
        <v>800</v>
      </c>
      <c r="D6" s="9" t="s">
        <v>51</v>
      </c>
      <c r="E6" s="9" t="s">
        <v>51</v>
      </c>
      <c r="F6" s="9" t="s">
        <v>55</v>
      </c>
    </row>
    <row r="7" customFormat="false" ht="15" hidden="false" customHeight="false" outlineLevel="0" collapsed="false">
      <c r="A7" s="9" t="s">
        <v>65</v>
      </c>
      <c r="B7" s="9" t="s">
        <v>26</v>
      </c>
      <c r="C7" s="11" t="n">
        <f aca="false">INDEX(Prices!$C$4:$C$21,MATCH(B7,Prices!$B$4:$B$21,0))</f>
        <v>100</v>
      </c>
      <c r="D7" s="9" t="s">
        <v>51</v>
      </c>
      <c r="E7" s="9" t="s">
        <v>55</v>
      </c>
      <c r="F7" s="9" t="s">
        <v>55</v>
      </c>
    </row>
    <row r="8" customFormat="false" ht="15" hidden="false" customHeight="false" outlineLevel="0" collapsed="false">
      <c r="A8" s="9" t="s">
        <v>65</v>
      </c>
      <c r="B8" s="9" t="s">
        <v>27</v>
      </c>
      <c r="C8" s="11" t="n">
        <f aca="false">INDEX(Prices!$C$4:$C$21,MATCH(B8,Prices!$B$4:$B$21,0))</f>
        <v>100</v>
      </c>
      <c r="D8" s="9" t="s">
        <v>51</v>
      </c>
      <c r="E8" s="9" t="s">
        <v>55</v>
      </c>
      <c r="F8" s="9" t="s">
        <v>55</v>
      </c>
    </row>
    <row r="9" customFormat="false" ht="15" hidden="false" customHeight="false" outlineLevel="0" collapsed="false">
      <c r="A9" s="9" t="s">
        <v>65</v>
      </c>
      <c r="B9" s="9" t="s">
        <v>40</v>
      </c>
      <c r="C9" s="11" t="n">
        <f aca="false">INDEX(Prices!$C$4:$C$21,MATCH(B9,Prices!$B$4:$B$21,0))</f>
        <v>900</v>
      </c>
      <c r="D9" s="9" t="s">
        <v>51</v>
      </c>
      <c r="E9" s="9" t="s">
        <v>51</v>
      </c>
      <c r="F9" s="9" t="s">
        <v>51</v>
      </c>
    </row>
    <row r="10" customFormat="false" ht="15" hidden="false" customHeight="false" outlineLevel="0" collapsed="false">
      <c r="A10" s="9" t="s">
        <v>65</v>
      </c>
      <c r="B10" s="9" t="s">
        <v>41</v>
      </c>
      <c r="C10" s="11" t="n">
        <f aca="false">INDEX(Prices!$C$4:$C$21,MATCH(B10,Prices!$B$4:$B$21,0))</f>
        <v>800</v>
      </c>
      <c r="D10" s="9" t="s">
        <v>51</v>
      </c>
      <c r="E10" s="9" t="s">
        <v>51</v>
      </c>
      <c r="F10" s="9" t="s">
        <v>55</v>
      </c>
    </row>
    <row r="11" customFormat="false" ht="15" hidden="false" customHeight="false" outlineLevel="0" collapsed="false">
      <c r="A11" s="9" t="s">
        <v>65</v>
      </c>
      <c r="B11" s="9" t="s">
        <v>43</v>
      </c>
      <c r="C11" s="11" t="n">
        <f aca="false">INDEX(Prices!$C$4:$C$21,MATCH(B11,Prices!$B$4:$B$21,0))</f>
        <v>800</v>
      </c>
      <c r="D11" s="9" t="s">
        <v>55</v>
      </c>
      <c r="E11" s="9" t="s">
        <v>51</v>
      </c>
      <c r="F11" s="9" t="s">
        <v>55</v>
      </c>
    </row>
    <row r="12" customFormat="false" ht="15" hidden="false" customHeight="false" outlineLevel="0" collapsed="false">
      <c r="A12" s="9" t="s">
        <v>66</v>
      </c>
      <c r="B12" s="9" t="s">
        <v>40</v>
      </c>
      <c r="C12" s="11" t="n">
        <f aca="false">INDEX(Prices!$C$4:$C$21,MATCH(B12,Prices!$B$4:$B$21,0))</f>
        <v>900</v>
      </c>
      <c r="D12" s="9" t="s">
        <v>51</v>
      </c>
      <c r="E12" s="9" t="s">
        <v>51</v>
      </c>
      <c r="F12" s="9" t="s">
        <v>51</v>
      </c>
    </row>
    <row r="13" customFormat="false" ht="15" hidden="false" customHeight="false" outlineLevel="0" collapsed="false">
      <c r="A13" s="9" t="s">
        <v>66</v>
      </c>
      <c r="B13" s="9" t="s">
        <v>41</v>
      </c>
      <c r="C13" s="11" t="n">
        <f aca="false">INDEX(Prices!$C$4:$C$21,MATCH(B13,Prices!$B$4:$B$21,0))</f>
        <v>800</v>
      </c>
      <c r="D13" s="9" t="s">
        <v>51</v>
      </c>
      <c r="E13" s="9" t="s">
        <v>51</v>
      </c>
      <c r="F13" s="9" t="s">
        <v>55</v>
      </c>
    </row>
    <row r="15" customFormat="false" ht="15" hidden="false" customHeight="false" outlineLevel="0" collapsed="false">
      <c r="A15" s="4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22"/>
    <col collapsed="false" customWidth="true" hidden="false" outlineLevel="0" max="5" min="5" style="0" width="16"/>
    <col collapsed="false" customWidth="true" hidden="false" outlineLevel="0" max="7" min="6" style="0" width="18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8"/>
  </cols>
  <sheetData>
    <row r="1" customFormat="false" ht="17.35" hidden="false" customHeight="false" outlineLevel="0" collapsed="false">
      <c r="A1" s="1" t="s">
        <v>68</v>
      </c>
    </row>
    <row r="2" customFormat="false" ht="15" hidden="false" customHeight="false" outlineLevel="0" collapsed="false">
      <c r="A2" s="4" t="s">
        <v>69</v>
      </c>
    </row>
    <row r="3" customFormat="false" ht="23.85" hidden="false" customHeight="false" outlineLevel="0" collapsed="false">
      <c r="A3" s="8" t="s">
        <v>59</v>
      </c>
      <c r="B3" s="8" t="s">
        <v>70</v>
      </c>
      <c r="C3" s="8" t="s">
        <v>71</v>
      </c>
      <c r="D3" s="8" t="s">
        <v>72</v>
      </c>
      <c r="E3" s="8" t="s">
        <v>73</v>
      </c>
      <c r="F3" s="8" t="s">
        <v>74</v>
      </c>
      <c r="G3" s="8" t="s">
        <v>75</v>
      </c>
      <c r="H3" s="8" t="s">
        <v>76</v>
      </c>
      <c r="I3" s="8" t="s">
        <v>77</v>
      </c>
      <c r="J3" s="8" t="s">
        <v>78</v>
      </c>
      <c r="K3" s="8" t="s">
        <v>79</v>
      </c>
    </row>
    <row r="4" customFormat="false" ht="15" hidden="false" customHeight="false" outlineLevel="0" collapsed="false">
      <c r="A4" s="9" t="s">
        <v>64</v>
      </c>
      <c r="B4" s="11" t="n">
        <f aca="false">SUMIFS('Basket lines'!$C$4:$C$13,'Basket lines'!$A$4:$A$13,A4,'Basket lines'!$D$4:$D$13,"Y")</f>
        <v>1950</v>
      </c>
      <c r="C4" s="11" t="n">
        <f aca="false">SUMIFS('Basket lines'!$C$4:$C$13,'Basket lines'!$A$4:$A$13,A4,'Basket lines'!$E$4:$E$13,"Y")</f>
        <v>1950</v>
      </c>
      <c r="D4" s="9" t="s">
        <v>50</v>
      </c>
      <c r="E4" s="11" t="n">
        <f aca="false">IF(D4="",0,INDEX(Packages!$B$4:$B$6,MATCH(D4,Packages!$A$4:$A$6,0)))</f>
        <v>900</v>
      </c>
      <c r="F4" s="11" t="n">
        <f aca="false">IF(D4="",0,SUMIFS('Basket lines'!$C$4:$C$13,'Basket lines'!$A$4:$A$13,A4,'Basket lines'!$E$4:$E$13,"Y",'Basket lines'!$F$4:$F$13,"N"))</f>
        <v>800</v>
      </c>
      <c r="G4" s="11" t="n">
        <f aca="false">IF(D4="",0,E4+F4)</f>
        <v>1700</v>
      </c>
      <c r="H4" s="5" t="str">
        <f aca="false">IF(C4&gt;Inputs!$B$3,"Yes","No")</f>
        <v>Yes</v>
      </c>
      <c r="I4" s="11" t="n">
        <f aca="false">IF(AND(D4&lt;&gt;"",H4="Yes",G4&lt;C4),G4,C4)</f>
        <v>1700</v>
      </c>
      <c r="J4" s="11" t="n">
        <f aca="false">C4-I4</f>
        <v>250</v>
      </c>
      <c r="K4" s="5" t="str">
        <f aca="false">IF(J4&gt;0,"Package option","Individual tests")</f>
        <v>Package option</v>
      </c>
    </row>
    <row r="5" customFormat="false" ht="15" hidden="false" customHeight="false" outlineLevel="0" collapsed="false">
      <c r="A5" s="9" t="s">
        <v>65</v>
      </c>
      <c r="B5" s="11" t="n">
        <f aca="false">SUMIFS('Basket lines'!$C$4:$C$13,'Basket lines'!$A$4:$A$13,A5,'Basket lines'!$D$4:$D$13,"Y")</f>
        <v>1900</v>
      </c>
      <c r="C5" s="11" t="n">
        <f aca="false">SUMIFS('Basket lines'!$C$4:$C$13,'Basket lines'!$A$4:$A$13,A5,'Basket lines'!$E$4:$E$13,"Y")</f>
        <v>2500</v>
      </c>
      <c r="D5" s="9"/>
      <c r="E5" s="11" t="n">
        <f aca="false">IF(D5="",0,INDEX(Packages!$B$4:$B$6,MATCH(D5,Packages!$A$4:$A$6,0)))</f>
        <v>0</v>
      </c>
      <c r="F5" s="11" t="n">
        <f aca="false">IF(D5="",0,SUMIFS('Basket lines'!$C$4:$C$13,'Basket lines'!$A$4:$A$13,A5,'Basket lines'!$E$4:$E$13,"Y",'Basket lines'!$F$4:$F$13,"N"))</f>
        <v>0</v>
      </c>
      <c r="G5" s="11" t="n">
        <f aca="false">IF(D5="",0,E5+F5)</f>
        <v>0</v>
      </c>
      <c r="H5" s="5" t="str">
        <f aca="false">IF(C5&gt;Inputs!$B$3,"Yes","No")</f>
        <v>Yes</v>
      </c>
      <c r="I5" s="11" t="n">
        <f aca="false">IF(AND(D5&lt;&gt;"",H5="Yes",G5&lt;C5),G5,C5)</f>
        <v>2500</v>
      </c>
      <c r="J5" s="11" t="n">
        <f aca="false">C5-I5</f>
        <v>0</v>
      </c>
      <c r="K5" s="5" t="str">
        <f aca="false">IF(J5&gt;0,"Package option","Individual tests")</f>
        <v>Individual tests</v>
      </c>
    </row>
    <row r="6" customFormat="false" ht="15" hidden="false" customHeight="false" outlineLevel="0" collapsed="false">
      <c r="A6" s="9" t="s">
        <v>66</v>
      </c>
      <c r="B6" s="11" t="n">
        <f aca="false">SUMIFS('Basket lines'!$C$4:$C$13,'Basket lines'!$A$4:$A$13,A6,'Basket lines'!$D$4:$D$13,"Y")</f>
        <v>1700</v>
      </c>
      <c r="C6" s="11" t="n">
        <f aca="false">SUMIFS('Basket lines'!$C$4:$C$13,'Basket lines'!$A$4:$A$13,A6,'Basket lines'!$E$4:$E$13,"Y")</f>
        <v>1700</v>
      </c>
      <c r="D6" s="9" t="s">
        <v>50</v>
      </c>
      <c r="E6" s="11" t="n">
        <f aca="false">IF(D6="",0,INDEX(Packages!$B$4:$B$6,MATCH(D6,Packages!$A$4:$A$6,0)))</f>
        <v>900</v>
      </c>
      <c r="F6" s="11" t="n">
        <f aca="false">IF(D6="",0,SUMIFS('Basket lines'!$C$4:$C$13,'Basket lines'!$A$4:$A$13,A6,'Basket lines'!$E$4:$E$13,"Y",'Basket lines'!$F$4:$F$13,"N"))</f>
        <v>800</v>
      </c>
      <c r="G6" s="11" t="n">
        <f aca="false">IF(D6="",0,E6+F6)</f>
        <v>1700</v>
      </c>
      <c r="H6" s="5" t="str">
        <f aca="false">IF(C6&gt;Inputs!$B$3,"Yes","No")</f>
        <v>Yes</v>
      </c>
      <c r="I6" s="11" t="n">
        <f aca="false">IF(AND(D6&lt;&gt;"",H6="Yes",G6&lt;C6),G6,C6)</f>
        <v>1700</v>
      </c>
      <c r="J6" s="11" t="n">
        <f aca="false">C6-I6</f>
        <v>0</v>
      </c>
      <c r="K6" s="5" t="str">
        <f aca="false">IF(J6&gt;0,"Package option","Individual tests")</f>
        <v>Individual tests</v>
      </c>
    </row>
    <row r="8" customFormat="false" ht="15" hidden="false" customHeight="false" outlineLevel="0" collapsed="false">
      <c r="A8" s="12" t="s">
        <v>80</v>
      </c>
      <c r="C8" s="11" t="n">
        <f aca="false">C5-B5</f>
        <v>600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46"/>
    <col collapsed="false" customWidth="true" hidden="false" outlineLevel="0" max="3" min="3" style="0" width="28"/>
    <col collapsed="false" customWidth="true" hidden="false" outlineLevel="0" max="4" min="4" style="0" width="18"/>
  </cols>
  <sheetData>
    <row r="1" customFormat="false" ht="17.35" hidden="false" customHeight="false" outlineLevel="0" collapsed="false">
      <c r="A1" s="1" t="s">
        <v>81</v>
      </c>
    </row>
    <row r="2" customFormat="false" ht="15" hidden="false" customHeight="false" outlineLevel="0" collapsed="false">
      <c r="A2" s="4" t="s">
        <v>82</v>
      </c>
    </row>
    <row r="3" customFormat="false" ht="15" hidden="false" customHeight="false" outlineLevel="0" collapsed="false">
      <c r="A3" s="8" t="s">
        <v>83</v>
      </c>
      <c r="B3" s="8" t="s">
        <v>59</v>
      </c>
      <c r="C3" s="8" t="s">
        <v>84</v>
      </c>
      <c r="D3" s="8" t="s">
        <v>85</v>
      </c>
    </row>
    <row r="4" customFormat="false" ht="15" hidden="false" customHeight="false" outlineLevel="0" collapsed="false">
      <c r="A4" s="9" t="s">
        <v>86</v>
      </c>
      <c r="B4" s="9" t="s">
        <v>87</v>
      </c>
      <c r="C4" s="9" t="s">
        <v>88</v>
      </c>
      <c r="D4" s="9" t="s">
        <v>89</v>
      </c>
    </row>
    <row r="5" customFormat="false" ht="15" hidden="false" customHeight="false" outlineLevel="0" collapsed="false">
      <c r="A5" s="9" t="s">
        <v>90</v>
      </c>
      <c r="B5" s="9" t="s">
        <v>91</v>
      </c>
      <c r="C5" s="9" t="s">
        <v>92</v>
      </c>
      <c r="D5" s="9" t="s">
        <v>89</v>
      </c>
    </row>
    <row r="6" customFormat="false" ht="15" hidden="false" customHeight="false" outlineLevel="0" collapsed="false">
      <c r="A6" s="9" t="s">
        <v>93</v>
      </c>
      <c r="B6" s="9" t="s">
        <v>94</v>
      </c>
      <c r="C6" s="9" t="s">
        <v>95</v>
      </c>
      <c r="D6" s="9" t="s">
        <v>89</v>
      </c>
    </row>
    <row r="7" customFormat="false" ht="15" hidden="false" customHeight="false" outlineLevel="0" collapsed="false">
      <c r="A7" s="9" t="s">
        <v>96</v>
      </c>
      <c r="B7" s="9" t="s">
        <v>97</v>
      </c>
      <c r="C7" s="9" t="s">
        <v>98</v>
      </c>
      <c r="D7" s="9" t="s">
        <v>89</v>
      </c>
    </row>
    <row r="8" customFormat="false" ht="15" hidden="false" customHeight="false" outlineLevel="0" collapsed="false">
      <c r="A8" s="9" t="s">
        <v>99</v>
      </c>
      <c r="B8" s="9" t="s">
        <v>100</v>
      </c>
      <c r="C8" s="9" t="s">
        <v>101</v>
      </c>
      <c r="D8" s="9" t="s">
        <v>89</v>
      </c>
    </row>
    <row r="9" customFormat="false" ht="15" hidden="false" customHeight="false" outlineLevel="0" collapsed="false">
      <c r="A9" s="9" t="s">
        <v>102</v>
      </c>
      <c r="B9" s="9" t="s">
        <v>103</v>
      </c>
      <c r="C9" s="9" t="s">
        <v>104</v>
      </c>
      <c r="D9" s="9" t="s">
        <v>89</v>
      </c>
    </row>
    <row r="10" customFormat="false" ht="15" hidden="false" customHeight="false" outlineLevel="0" collapsed="false">
      <c r="A10" s="9" t="s">
        <v>105</v>
      </c>
      <c r="B10" s="9" t="s">
        <v>106</v>
      </c>
      <c r="C10" s="9" t="s">
        <v>107</v>
      </c>
      <c r="D10" s="9" t="s">
        <v>89</v>
      </c>
    </row>
    <row r="11" customFormat="false" ht="15" hidden="false" customHeight="false" outlineLevel="0" collapsed="false">
      <c r="A11" s="9" t="s">
        <v>108</v>
      </c>
      <c r="B11" s="9" t="s">
        <v>109</v>
      </c>
      <c r="C11" s="9" t="s">
        <v>110</v>
      </c>
      <c r="D11" s="9" t="s">
        <v>89</v>
      </c>
    </row>
    <row r="12" customFormat="false" ht="15" hidden="false" customHeight="false" outlineLevel="0" collapsed="false">
      <c r="A12" s="9" t="s">
        <v>111</v>
      </c>
      <c r="B12" s="9" t="s">
        <v>112</v>
      </c>
      <c r="C12" s="9" t="s">
        <v>113</v>
      </c>
      <c r="D12" s="9" t="s">
        <v>89</v>
      </c>
    </row>
    <row r="13" customFormat="false" ht="15" hidden="false" customHeight="false" outlineLevel="0" collapsed="false">
      <c r="A13" s="9" t="s">
        <v>114</v>
      </c>
      <c r="B13" s="9" t="s">
        <v>115</v>
      </c>
      <c r="C13" s="9" t="s">
        <v>116</v>
      </c>
      <c r="D13" s="9" t="s">
        <v>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24"/>
    <col collapsed="false" customWidth="true" hidden="false" outlineLevel="0" max="4" min="3" style="0" width="14"/>
    <col collapsed="false" customWidth="true" hidden="false" outlineLevel="0" max="5" min="5" style="0" width="28"/>
  </cols>
  <sheetData>
    <row r="1" customFormat="false" ht="17.35" hidden="false" customHeight="false" outlineLevel="0" collapsed="false">
      <c r="A1" s="1" t="s">
        <v>117</v>
      </c>
    </row>
    <row r="2" customFormat="false" ht="15" hidden="false" customHeight="false" outlineLevel="0" collapsed="false">
      <c r="A2" s="4" t="s">
        <v>118</v>
      </c>
    </row>
    <row r="3" customFormat="false" ht="23.85" hidden="false" customHeight="false" outlineLevel="0" collapsed="false">
      <c r="A3" s="8" t="s">
        <v>119</v>
      </c>
      <c r="B3" s="8" t="s">
        <v>120</v>
      </c>
      <c r="C3" s="8" t="s">
        <v>121</v>
      </c>
      <c r="D3" s="8" t="s">
        <v>122</v>
      </c>
      <c r="E3" s="8" t="s">
        <v>123</v>
      </c>
    </row>
    <row r="4" customFormat="false" ht="15" hidden="false" customHeight="false" outlineLevel="0" collapsed="false">
      <c r="A4" s="9" t="s">
        <v>124</v>
      </c>
      <c r="B4" s="7" t="n">
        <v>20</v>
      </c>
      <c r="C4" s="9" t="s">
        <v>125</v>
      </c>
      <c r="D4" s="9" t="s">
        <v>125</v>
      </c>
      <c r="E4" s="9" t="s">
        <v>126</v>
      </c>
    </row>
    <row r="5" customFormat="false" ht="15" hidden="false" customHeight="false" outlineLevel="0" collapsed="false">
      <c r="A5" s="9" t="s">
        <v>127</v>
      </c>
      <c r="B5" s="7" t="n">
        <v>10</v>
      </c>
      <c r="C5" s="7" t="n">
        <v>100</v>
      </c>
      <c r="D5" s="9" t="s">
        <v>128</v>
      </c>
      <c r="E5" s="9" t="s">
        <v>129</v>
      </c>
    </row>
    <row r="7" customFormat="false" ht="15" hidden="false" customHeight="false" outlineLevel="0" collapsed="false">
      <c r="A7" s="5" t="s">
        <v>130</v>
      </c>
      <c r="B7" s="13" t="n">
        <f aca="false">B5-B4</f>
        <v>-10</v>
      </c>
    </row>
    <row r="8" customFormat="false" ht="15" hidden="false" customHeight="false" outlineLevel="0" collapsed="false">
      <c r="A8" s="5" t="s">
        <v>131</v>
      </c>
      <c r="B8" s="14" t="n">
        <f aca="false">IF(B4=0,0,B7/B4)</f>
        <v>-0.5</v>
      </c>
    </row>
    <row r="10" customFormat="false" ht="15" hidden="false" customHeight="false" outlineLevel="0" collapsed="false">
      <c r="A10" s="4" t="s">
        <v>132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6"/>
    <col collapsed="false" customWidth="true" hidden="false" outlineLevel="0" max="3" min="3" style="0" width="58"/>
  </cols>
  <sheetData>
    <row r="1" customFormat="false" ht="17.35" hidden="false" customHeight="false" outlineLevel="0" collapsed="false">
      <c r="A1" s="1" t="s">
        <v>133</v>
      </c>
    </row>
    <row r="2" customFormat="false" ht="15" hidden="false" customHeight="false" outlineLevel="0" collapsed="false">
      <c r="A2" s="4" t="s">
        <v>134</v>
      </c>
    </row>
    <row r="3" customFormat="false" ht="15" hidden="false" customHeight="false" outlineLevel="0" collapsed="false">
      <c r="A3" s="8" t="s">
        <v>135</v>
      </c>
      <c r="B3" s="8" t="s">
        <v>136</v>
      </c>
      <c r="C3" s="8" t="s">
        <v>137</v>
      </c>
    </row>
    <row r="4" customFormat="false" ht="15" hidden="false" customHeight="false" outlineLevel="0" collapsed="false">
      <c r="A4" s="5" t="s">
        <v>138</v>
      </c>
      <c r="B4" s="15" t="n">
        <f aca="false">COUNTIF(Tests!D4:D13,"PASS")</f>
        <v>10</v>
      </c>
      <c r="C4" s="5" t="str">
        <f aca="false">"of "&amp;COUNTA(Tests!A4:A13)&amp;" tests"</f>
        <v>of 10 tests</v>
      </c>
    </row>
    <row r="5" customFormat="false" ht="15" hidden="false" customHeight="false" outlineLevel="0" collapsed="false">
      <c r="A5" s="5" t="s">
        <v>139</v>
      </c>
      <c r="B5" s="16" t="n">
        <f aca="false">Scenarios!J4</f>
        <v>250</v>
      </c>
      <c r="C5" s="5" t="s">
        <v>140</v>
      </c>
    </row>
    <row r="6" customFormat="false" ht="15" hidden="false" customHeight="false" outlineLevel="0" collapsed="false">
      <c r="A6" s="5" t="s">
        <v>141</v>
      </c>
      <c r="B6" s="16" t="n">
        <f aca="false">Scenarios!C8</f>
        <v>600</v>
      </c>
      <c r="C6" s="5" t="s">
        <v>142</v>
      </c>
    </row>
    <row r="7" customFormat="false" ht="15" hidden="false" customHeight="false" outlineLevel="0" collapsed="false">
      <c r="A7" s="5" t="s">
        <v>143</v>
      </c>
      <c r="B7" s="17" t="n">
        <f aca="false">'Handling time'!B8</f>
        <v>-0.5</v>
      </c>
      <c r="C7" s="5" t="s">
        <v>144</v>
      </c>
    </row>
    <row r="8" customFormat="false" ht="15" hidden="false" customHeight="false" outlineLevel="0" collapsed="false">
      <c r="A8" s="5" t="s">
        <v>145</v>
      </c>
      <c r="B8" s="18" t="n">
        <v>27</v>
      </c>
      <c r="C8" s="5" t="s">
        <v>146</v>
      </c>
    </row>
    <row r="9" customFormat="false" ht="15" hidden="false" customHeight="false" outlineLevel="0" collapsed="false">
      <c r="A9" s="5" t="s">
        <v>147</v>
      </c>
      <c r="B9" s="18" t="n">
        <v>11</v>
      </c>
      <c r="C9" s="5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2026-10-22T17:28:27Z</dcterms:created>
  <dc:creator>openpyxl</dc:creator>
  <dc:description/>
  <dc:language>en-US</dc:language>
  <cp:lastModifiedBy/>
  <dcterms:modified xsi:type="dcterms:W3CDTF">2026-10-22T17:28:29Z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